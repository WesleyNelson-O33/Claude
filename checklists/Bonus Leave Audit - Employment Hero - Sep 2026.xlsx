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H Bonus Leave Audit" sheetId="1" state="visible" r:id="rId1"/>
    <sheet name="Tracker Snapshot 24-08-2026" sheetId="2" state="visible" r:id="rId2"/>
    <sheet name="Rules &amp; How To" sheetId="3" state="visible" r:id="rId3"/>
    <sheet name="TIL (ref only)" sheetId="4" state="visible" r:id="rId4"/>
  </sheets>
  <definedNames>
    <definedName name="_xlnm._FilterDatabase" localSheetId="0" hidden="1">'EH Bonus Leave Audit'!$A$5:$L$20</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7">
    <font>
      <name val="Calibri"/>
      <family val="2"/>
      <color theme="1"/>
      <sz val="11"/>
      <scheme val="minor"/>
    </font>
    <font>
      <name val="Arial"/>
      <b val="1"/>
      <sz val="13"/>
    </font>
    <font>
      <name val="Arial"/>
      <i val="1"/>
      <color rgb="00595959"/>
      <sz val="9"/>
    </font>
    <font>
      <name val="Arial"/>
      <b val="1"/>
      <sz val="10"/>
    </font>
    <font>
      <name val="Arial"/>
      <color rgb="000000FF"/>
      <sz val="10"/>
    </font>
    <font>
      <name val="Arial"/>
      <b val="1"/>
      <color rgb="00FFFFFF"/>
      <sz val="10"/>
    </font>
    <font>
      <name val="Arial"/>
      <sz val="10"/>
    </font>
  </fonts>
  <fills count="7">
    <fill>
      <patternFill/>
    </fill>
    <fill>
      <patternFill patternType="gray125"/>
    </fill>
    <fill>
      <patternFill patternType="solid">
        <fgColor rgb="00FFFF00"/>
      </patternFill>
    </fill>
    <fill>
      <patternFill patternType="solid">
        <fgColor rgb="001F4E78"/>
      </patternFill>
    </fill>
    <fill>
      <patternFill patternType="solid">
        <fgColor rgb="00F2F2F2"/>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5" fontId="4" fillId="2" borderId="0" pivotButton="0" quotePrefix="0" xfId="0"/>
    <xf numFmtId="0" fontId="4" fillId="2" borderId="0" pivotButton="0" quotePrefix="0" xfId="0"/>
    <xf numFmtId="0" fontId="5" fillId="3" borderId="1" applyAlignment="1" pivotButton="0" quotePrefix="0" xfId="0">
      <alignment horizontal="center" vertical="top" wrapText="1"/>
    </xf>
    <xf numFmtId="0" fontId="4" fillId="2" borderId="1" applyAlignment="1" pivotButton="0" quotePrefix="0" xfId="0">
      <alignment vertical="top" wrapText="1"/>
    </xf>
    <xf numFmtId="165" fontId="4" fillId="2" borderId="1" applyAlignment="1" pivotButton="0" quotePrefix="0" xfId="0">
      <alignment horizontal="center" vertical="top" wrapText="1"/>
    </xf>
    <xf numFmtId="166" fontId="6" fillId="0" borderId="1" applyAlignment="1" pivotButton="0" quotePrefix="0" xfId="0">
      <alignment horizontal="center" vertical="top" wrapText="1"/>
    </xf>
    <xf numFmtId="0" fontId="6" fillId="0" borderId="1" applyAlignment="1" pivotButton="0" quotePrefix="0" xfId="0">
      <alignment horizontal="center" vertical="top" wrapText="1"/>
    </xf>
    <xf numFmtId="0" fontId="4" fillId="2" borderId="1" applyAlignment="1" pivotButton="0" quotePrefix="0" xfId="0">
      <alignment horizontal="center" vertical="top" wrapText="1"/>
    </xf>
    <xf numFmtId="0" fontId="6" fillId="0" borderId="1" applyAlignment="1" pivotButton="0" quotePrefix="0" xfId="0">
      <alignment vertical="top" wrapText="1"/>
    </xf>
    <xf numFmtId="0" fontId="3" fillId="4" borderId="1" applyAlignment="1" pivotButton="0" quotePrefix="0" xfId="0">
      <alignment horizontal="center" vertical="top" wrapText="1"/>
    </xf>
    <xf numFmtId="0" fontId="0" fillId="4" borderId="1" applyAlignment="1" pivotButton="0" quotePrefix="0" xfId="0">
      <alignment horizontal="center" vertical="top" wrapText="1"/>
    </xf>
    <xf numFmtId="165" fontId="6" fillId="0" borderId="1" applyAlignment="1" pivotButton="0" quotePrefix="0" xfId="0">
      <alignment horizontal="center" vertical="top" wrapText="1"/>
    </xf>
    <xf numFmtId="0" fontId="6" fillId="5" borderId="1" applyAlignment="1" pivotButton="0" quotePrefix="0" xfId="0">
      <alignment vertical="top" wrapText="1"/>
    </xf>
    <xf numFmtId="0" fontId="3" fillId="0"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dxfs count="3">
    <dxf>
      <fill>
        <patternFill patternType="solid">
          <fgColor rgb="00FFC7CE"/>
        </patternFill>
      </fill>
    </dxf>
    <dxf>
      <fill>
        <patternFill patternType="solid">
          <fgColor rgb="00FFEB9C"/>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Claude</author>
  </authors>
  <commentList>
    <comment ref="D3" authorId="0" shapeId="0">
      <text>
        <t>From the tracker title 'Bonus Leave Tally for Staff Anniversaries over 3 years' and Part 5 transcript. Change if Duncan confirms a different threshold.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2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3" customWidth="1" min="3" max="3"/>
    <col width="13" customWidth="1" min="4" max="4"/>
    <col width="14" customWidth="1" min="5" max="5"/>
    <col width="16" customWidth="1" min="6" max="6"/>
    <col width="16" customWidth="1" min="7" max="7"/>
    <col width="13" customWidth="1" min="8" max="8"/>
    <col width="11" customWidth="1" min="9" max="9"/>
    <col width="11" customWidth="1" min="10" max="10"/>
    <col width="34" customWidth="1" min="11" max="11"/>
    <col width="60" customWidth="1" min="12" max="12"/>
  </cols>
  <sheetData>
    <row r="1">
      <c r="A1" s="1" t="inlineStr">
        <is>
          <t>Bonus leave audit - who should be accruing in Employment Hero, and who actually is</t>
        </is>
      </c>
    </row>
    <row r="2">
      <c r="A2" s="2" t="inlineStr">
        <is>
          <t>Purpose: check every CTS employee with 3+ years' service is set up and accruing bonus leave in EH. Anyone missing gets accrued in the last pay run of this month.</t>
        </is>
      </c>
    </row>
    <row r="3">
      <c r="A3" s="3" t="inlineStr">
        <is>
          <t>As-at date:</t>
        </is>
      </c>
      <c r="B3" s="4" t="n">
        <v>46293</v>
      </c>
      <c r="C3" s="3" t="inlineStr">
        <is>
          <t>Qualifying service (years):</t>
        </is>
      </c>
      <c r="D3" s="5" t="n">
        <v>3</v>
      </c>
      <c r="E3" s="2" t="inlineStr">
        <is>
          <t>Legend: yellow cells = you fill these in from Employment Hero. White cells = formulas, leave them. Kyle and Wade rows are worked examples from the Aug 2026 pay run.</t>
        </is>
      </c>
    </row>
    <row r="5" ht="60" customHeight="1">
      <c r="A5" s="6" t="inlineStr">
        <is>
          <t>Employee</t>
        </is>
      </c>
      <c r="B5" s="6" t="inlineStr">
        <is>
          <t>Start date (EH &gt; Employee &gt; Employment details)</t>
        </is>
      </c>
      <c r="C5" s="6" t="inlineStr">
        <is>
          <t>Years of service at as-at date</t>
        </is>
      </c>
      <c r="D5" s="6" t="inlineStr">
        <is>
          <t>Qualifies for bonus leave?</t>
        </is>
      </c>
      <c r="E5" s="6" t="inlineStr">
        <is>
          <t>Signed bonus leave letter on file? (Y/N)</t>
        </is>
      </c>
      <c r="F5" s="6" t="inlineStr">
        <is>
          <t>Bonus leave category on EH leave balances? (Y/N)</t>
        </is>
      </c>
      <c r="G5" s="6" t="inlineStr">
        <is>
          <t>Last bonus leave accrual seen in EH (date)</t>
        </is>
      </c>
      <c r="H5" s="6" t="inlineStr">
        <is>
          <t>Accrued for Sep 2026? (Y/N)</t>
        </is>
      </c>
      <c r="I5" s="6" t="inlineStr">
        <is>
          <t>Days to accrue this month</t>
        </is>
      </c>
      <c r="J5" s="6" t="inlineStr">
        <is>
          <t>Hours to accrue (days x 8)</t>
        </is>
      </c>
      <c r="K5" s="6" t="inlineStr">
        <is>
          <t>Action</t>
        </is>
      </c>
      <c r="L5" s="6" t="inlineStr">
        <is>
          <t>What we know from the Aug 2026 pay run transcript</t>
        </is>
      </c>
    </row>
    <row r="6" ht="45" customHeight="1">
      <c r="A6" s="7" t="inlineStr">
        <is>
          <t>Kyle</t>
        </is>
      </c>
      <c r="B6" s="8" t="n"/>
      <c r="C6" s="9">
        <f>IF(B6="","",YEARFRAC(B6,$B$3))</f>
        <v/>
      </c>
      <c r="D6" s="10">
        <f>IF(B6="","",IF(C6&gt;=$D$3,"Yes","No"))</f>
        <v/>
      </c>
      <c r="E6" s="11" t="inlineStr">
        <is>
          <t>Y</t>
        </is>
      </c>
      <c r="F6" s="11" t="inlineStr">
        <is>
          <t>Y</t>
        </is>
      </c>
      <c r="G6" s="8" t="n">
        <v>46258</v>
      </c>
      <c r="H6" s="11" t="inlineStr">
        <is>
          <t>Y</t>
        </is>
      </c>
      <c r="I6" s="11" t="n">
        <v>0</v>
      </c>
      <c r="J6" s="10">
        <f>IF(I6="","",I6*8)</f>
        <v/>
      </c>
      <c r="K6" s="12">
        <f>IF(B6="","Enter start date",IF(D6="No","Not eligible yet - check again at 3 yr anniversary",IF(E6="N","Get signed letter from Duncan, then back-accrue",IF(F6="N","Set up Bonus leave category in EH, then accrue",IF(H6="N","ACCRUE THIS MONTH - last pay run of Sep",IF(H6="Y","OK - accruing","Check EH"))))))</f>
        <v/>
      </c>
      <c r="L6" s="12" t="inlineStr">
        <is>
          <t>Accrued 1 day (8 hrs) for Sep 2026 in the 24/08/2026 pay run. Part 5 at 22:52 to 24:16.</t>
        </is>
      </c>
    </row>
    <row r="7" ht="45" customHeight="1">
      <c r="A7" s="7" t="inlineStr">
        <is>
          <t>Wade</t>
        </is>
      </c>
      <c r="B7" s="8" t="n"/>
      <c r="C7" s="9">
        <f>IF(B7="","",YEARFRAC(B7,$B$3))</f>
        <v/>
      </c>
      <c r="D7" s="10">
        <f>IF(B7="","",IF(C7&gt;=$D$3,"Yes","No"))</f>
        <v/>
      </c>
      <c r="E7" s="11" t="inlineStr">
        <is>
          <t>Y</t>
        </is>
      </c>
      <c r="F7" s="11" t="inlineStr">
        <is>
          <t>Y</t>
        </is>
      </c>
      <c r="G7" s="8" t="n">
        <v>46258</v>
      </c>
      <c r="H7" s="11" t="inlineStr">
        <is>
          <t>Y</t>
        </is>
      </c>
      <c r="I7" s="11" t="n">
        <v>0</v>
      </c>
      <c r="J7" s="10">
        <f>IF(I7="","",I7*8)</f>
        <v/>
      </c>
      <c r="K7" s="12">
        <f>IF(B7="","Enter start date",IF(D7="No","Not eligible yet - check again at 3 yr anniversary",IF(E7="N","Get signed letter from Duncan, then back-accrue",IF(F7="N","Set up Bonus leave category in EH, then accrue",IF(H7="N","ACCRUE THIS MONTH - last pay run of Sep",IF(H7="Y","OK - accruing","Check EH"))))))</f>
        <v/>
      </c>
      <c r="L7" s="12" t="inlineStr">
        <is>
          <t>Accrued 1 day (8 hrs) for Sep 2026 in the 24/08/2026 pay run. Part 5 at 24:16. Transcript also calls him 'Wayne'.</t>
        </is>
      </c>
    </row>
    <row r="8" ht="45" customHeight="1">
      <c r="A8" s="7" t="inlineStr">
        <is>
          <t>Isaac</t>
        </is>
      </c>
      <c r="B8" s="8" t="n"/>
      <c r="C8" s="9">
        <f>IF(B8="","",YEARFRAC(B8,$B$3))</f>
        <v/>
      </c>
      <c r="D8" s="10">
        <f>IF(B8="","",IF(C8&gt;=$D$3,"Yes","No"))</f>
        <v/>
      </c>
      <c r="E8" s="11" t="inlineStr">
        <is>
          <t>N</t>
        </is>
      </c>
      <c r="F8" s="11" t="n"/>
      <c r="G8" s="8" t="n"/>
      <c r="H8" s="11" t="inlineStr">
        <is>
          <t>N</t>
        </is>
      </c>
      <c r="I8" s="11" t="n"/>
      <c r="J8" s="10">
        <f>IF(I8="","",I8*8)</f>
        <v/>
      </c>
      <c r="K8" s="12">
        <f>IF(B8="","Enter start date",IF(D8="No","Not eligible yet - check again at 3 yr anniversary",IF(E8="N","Get signed letter from Duncan, then back-accrue",IF(F8="N","Set up Bonus leave category in EH, then accrue",IF(H8="N","ACCRUE THIS MONTH - last pay run of Sep",IF(H8="Y","OK - accruing","Check EH"))))))</f>
        <v/>
      </c>
      <c r="L8" s="12" t="inlineStr">
        <is>
          <t>Eligible but NO signed letter, so nothing accrued. Tracker says 'No signed letter yet'. Part 5 at 22:52 and 26:36. Chase Duncan for the letter, then back-accrue.</t>
        </is>
      </c>
    </row>
    <row r="9" ht="45" customHeight="1">
      <c r="A9" s="7" t="inlineStr">
        <is>
          <t>Blake</t>
        </is>
      </c>
      <c r="B9" s="8" t="n"/>
      <c r="C9" s="9">
        <f>IF(B9="","",YEARFRAC(B9,$B$3))</f>
        <v/>
      </c>
      <c r="D9" s="10">
        <f>IF(B9="","",IF(C9&gt;=$D$3,"Yes","No"))</f>
        <v/>
      </c>
      <c r="E9" s="11" t="inlineStr">
        <is>
          <t>N</t>
        </is>
      </c>
      <c r="F9" s="11" t="n"/>
      <c r="G9" s="8" t="n"/>
      <c r="H9" s="11" t="inlineStr">
        <is>
          <t>N</t>
        </is>
      </c>
      <c r="I9" s="11" t="n"/>
      <c r="J9" s="10">
        <f>IF(I9="","",I9*8)</f>
        <v/>
      </c>
      <c r="K9" s="12">
        <f>IF(B9="","Enter start date",IF(D9="No","Not eligible yet - check again at 3 yr anniversary",IF(E9="N","Get signed letter from Duncan, then back-accrue",IF(F9="N","Set up Bonus leave category in EH, then accrue",IF(H9="N","ACCRUE THIS MONTH - last pay run of Sep",IF(H9="Y","OK - accruing","Check EH"))))))</f>
        <v/>
      </c>
      <c r="L9" s="12" t="inlineStr">
        <is>
          <t>Eligible from Feb 2026 but NO signed letter. Roughly 7 months outstanding on the tracker. Part 5 at 26:36 to 27:32. Chase letter, then back-accrue from Feb 2026.</t>
        </is>
      </c>
    </row>
    <row r="10" ht="45" customHeight="1">
      <c r="A10" s="7" t="inlineStr">
        <is>
          <t>Tyrell</t>
        </is>
      </c>
      <c r="B10" s="8" t="n"/>
      <c r="C10" s="9">
        <f>IF(B10="","",YEARFRAC(B10,$B$3))</f>
        <v/>
      </c>
      <c r="D10" s="10">
        <f>IF(B10="","",IF(C10&gt;=$D$3,"Yes","No"))</f>
        <v/>
      </c>
      <c r="E10" s="11" t="n"/>
      <c r="F10" s="11" t="n"/>
      <c r="G10" s="8" t="n"/>
      <c r="H10" s="11" t="inlineStr">
        <is>
          <t>N</t>
        </is>
      </c>
      <c r="I10" s="11" t="n"/>
      <c r="J10" s="10">
        <f>IF(I10="","",I10*8)</f>
        <v/>
      </c>
      <c r="K10" s="12">
        <f>IF(B10="","Enter start date",IF(D10="No","Not eligible yet - check again at 3 yr anniversary",IF(E10="N","Get signed letter from Duncan, then back-accrue",IF(F10="N","Set up Bonus leave category in EH, then accrue",IF(H10="N","ACCRUE THIS MONTH - last pay run of Sep",IF(H10="Y","OK - accruing","Check EH"))))))</f>
        <v/>
      </c>
      <c r="L10" s="12" t="inlineStr">
        <is>
          <t>Duncan says eligible, but not verified and NOT on the tracker at all. Part 5 at 25:40 to 26:08. Confirm start date in EH first.</t>
        </is>
      </c>
    </row>
    <row r="11" ht="45" customHeight="1">
      <c r="A11" s="7" t="inlineStr">
        <is>
          <t>Jordan</t>
        </is>
      </c>
      <c r="B11" s="8" t="n"/>
      <c r="C11" s="9">
        <f>IF(B11="","",YEARFRAC(B11,$B$3))</f>
        <v/>
      </c>
      <c r="D11" s="10">
        <f>IF(B11="","",IF(C11&gt;=$D$3,"Yes","No"))</f>
        <v/>
      </c>
      <c r="E11" s="11" t="inlineStr">
        <is>
          <t>Y</t>
        </is>
      </c>
      <c r="F11" s="11" t="inlineStr">
        <is>
          <t>Y</t>
        </is>
      </c>
      <c r="G11" s="8" t="n"/>
      <c r="H11" s="11" t="n"/>
      <c r="I11" s="11" t="n"/>
      <c r="J11" s="10">
        <f>IF(I11="","",I11*8)</f>
        <v/>
      </c>
      <c r="K11" s="12">
        <f>IF(B11="","Enter start date",IF(D11="No","Not eligible yet - check again at 3 yr anniversary",IF(E11="N","Get signed letter from Duncan, then back-accrue",IF(F11="N","Set up Bonus leave category in EH, then accrue",IF(H11="N","ACCRUE THIS MONTH - last pay run of Sep",IF(H11="Y","OK - accruing","Check EH"))))))</f>
        <v/>
      </c>
      <c r="L11" s="12" t="inlineStr">
        <is>
          <t>Already has bonus leave (took 12 to 15 May 2026 as bonus leave). Check his Sep accrual is in EH. Part 5 at 14:28 to 17:44.</t>
        </is>
      </c>
    </row>
    <row r="12" ht="45" customHeight="1">
      <c r="A12" s="7" t="inlineStr">
        <is>
          <t>Graham</t>
        </is>
      </c>
      <c r="B12" s="8" t="n"/>
      <c r="C12" s="9">
        <f>IF(B12="","",YEARFRAC(B12,$B$3))</f>
        <v/>
      </c>
      <c r="D12" s="10">
        <f>IF(B12="","",IF(C12&gt;=$D$3,"Yes","No"))</f>
        <v/>
      </c>
      <c r="E12" s="11" t="n"/>
      <c r="F12" s="11" t="n"/>
      <c r="G12" s="8" t="n"/>
      <c r="H12" s="11" t="n"/>
      <c r="I12" s="11" t="n"/>
      <c r="J12" s="10">
        <f>IF(I12="","",I12*8)</f>
        <v/>
      </c>
      <c r="K12" s="12">
        <f>IF(B12="","Enter start date",IF(D12="No","Not eligible yet - check again at 3 yr anniversary",IF(E12="N","Get signed letter from Duncan, then back-accrue",IF(F12="N","Set up Bonus leave category in EH, then accrue",IF(H12="N","ACCRUE THIS MONTH - last pay run of Sep",IF(H12="Y","OK - accruing","Check EH"))))))</f>
        <v/>
      </c>
      <c r="L12" s="12" t="inlineStr">
        <is>
          <t>Not mentioned for bonus leave in the transcript. Check service length in EH.</t>
        </is>
      </c>
    </row>
    <row r="13" ht="45" customHeight="1">
      <c r="A13" s="7" t="inlineStr"/>
      <c r="B13" s="8" t="n"/>
      <c r="C13" s="9">
        <f>IF(B13="","",YEARFRAC(B13,$B$3))</f>
        <v/>
      </c>
      <c r="D13" s="10">
        <f>IF(B13="","",IF(C13&gt;=$D$3,"Yes","No"))</f>
        <v/>
      </c>
      <c r="E13" s="11" t="n"/>
      <c r="F13" s="11" t="n"/>
      <c r="G13" s="8" t="n"/>
      <c r="H13" s="11" t="n"/>
      <c r="I13" s="11" t="n"/>
      <c r="J13" s="10">
        <f>IF(I13="","",I13*8)</f>
        <v/>
      </c>
      <c r="K13" s="12">
        <f>IF(B13="","Enter start date",IF(D13="No","Not eligible yet - check again at 3 yr anniversary",IF(E13="N","Get signed letter from Duncan, then back-accrue",IF(F13="N","Set up Bonus leave category in EH, then accrue",IF(H13="N","ACCRUE THIS MONTH - last pay run of Sep",IF(H13="Y","OK - accruing","Check EH"))))))</f>
        <v/>
      </c>
      <c r="L13" s="12" t="inlineStr">
        <is>
          <t>Add every other employee from EH &gt; People here, including anyone hidden on the tracker.</t>
        </is>
      </c>
    </row>
    <row r="14" ht="18" customHeight="1">
      <c r="A14" s="7" t="inlineStr"/>
      <c r="B14" s="8" t="n"/>
      <c r="C14" s="9">
        <f>IF(B14="","",YEARFRAC(B14,$B$3))</f>
        <v/>
      </c>
      <c r="D14" s="10">
        <f>IF(B14="","",IF(C14&gt;=$D$3,"Yes","No"))</f>
        <v/>
      </c>
      <c r="E14" s="11" t="n"/>
      <c r="F14" s="11" t="n"/>
      <c r="G14" s="8" t="n"/>
      <c r="H14" s="11" t="n"/>
      <c r="I14" s="11" t="n"/>
      <c r="J14" s="10">
        <f>IF(I14="","",I14*8)</f>
        <v/>
      </c>
      <c r="K14" s="12">
        <f>IF(B14="","Enter start date",IF(D14="No","Not eligible yet - check again at 3 yr anniversary",IF(E14="N","Get signed letter from Duncan, then back-accrue",IF(F14="N","Set up Bonus leave category in EH, then accrue",IF(H14="N","ACCRUE THIS MONTH - last pay run of Sep",IF(H14="Y","OK - accruing","Check EH"))))))</f>
        <v/>
      </c>
      <c r="L14" s="12" t="inlineStr"/>
    </row>
    <row r="15" ht="18" customHeight="1">
      <c r="A15" s="7" t="inlineStr"/>
      <c r="B15" s="8" t="n"/>
      <c r="C15" s="9">
        <f>IF(B15="","",YEARFRAC(B15,$B$3))</f>
        <v/>
      </c>
      <c r="D15" s="10">
        <f>IF(B15="","",IF(C15&gt;=$D$3,"Yes","No"))</f>
        <v/>
      </c>
      <c r="E15" s="11" t="n"/>
      <c r="F15" s="11" t="n"/>
      <c r="G15" s="8" t="n"/>
      <c r="H15" s="11" t="n"/>
      <c r="I15" s="11" t="n"/>
      <c r="J15" s="10">
        <f>IF(I15="","",I15*8)</f>
        <v/>
      </c>
      <c r="K15" s="12">
        <f>IF(B15="","Enter start date",IF(D15="No","Not eligible yet - check again at 3 yr anniversary",IF(E15="N","Get signed letter from Duncan, then back-accrue",IF(F15="N","Set up Bonus leave category in EH, then accrue",IF(H15="N","ACCRUE THIS MONTH - last pay run of Sep",IF(H15="Y","OK - accruing","Check EH"))))))</f>
        <v/>
      </c>
      <c r="L15" s="12" t="inlineStr"/>
    </row>
    <row r="16" ht="18" customHeight="1">
      <c r="A16" s="7" t="inlineStr"/>
      <c r="B16" s="8" t="n"/>
      <c r="C16" s="9">
        <f>IF(B16="","",YEARFRAC(B16,$B$3))</f>
        <v/>
      </c>
      <c r="D16" s="10">
        <f>IF(B16="","",IF(C16&gt;=$D$3,"Yes","No"))</f>
        <v/>
      </c>
      <c r="E16" s="11" t="n"/>
      <c r="F16" s="11" t="n"/>
      <c r="G16" s="8" t="n"/>
      <c r="H16" s="11" t="n"/>
      <c r="I16" s="11" t="n"/>
      <c r="J16" s="10">
        <f>IF(I16="","",I16*8)</f>
        <v/>
      </c>
      <c r="K16" s="12">
        <f>IF(B16="","Enter start date",IF(D16="No","Not eligible yet - check again at 3 yr anniversary",IF(E16="N","Get signed letter from Duncan, then back-accrue",IF(F16="N","Set up Bonus leave category in EH, then accrue",IF(H16="N","ACCRUE THIS MONTH - last pay run of Sep",IF(H16="Y","OK - accruing","Check EH"))))))</f>
        <v/>
      </c>
      <c r="L16" s="12" t="inlineStr"/>
    </row>
    <row r="17" ht="18" customHeight="1">
      <c r="A17" s="7" t="inlineStr"/>
      <c r="B17" s="8" t="n"/>
      <c r="C17" s="9">
        <f>IF(B17="","",YEARFRAC(B17,$B$3))</f>
        <v/>
      </c>
      <c r="D17" s="10">
        <f>IF(B17="","",IF(C17&gt;=$D$3,"Yes","No"))</f>
        <v/>
      </c>
      <c r="E17" s="11" t="n"/>
      <c r="F17" s="11" t="n"/>
      <c r="G17" s="8" t="n"/>
      <c r="H17" s="11" t="n"/>
      <c r="I17" s="11" t="n"/>
      <c r="J17" s="10">
        <f>IF(I17="","",I17*8)</f>
        <v/>
      </c>
      <c r="K17" s="12">
        <f>IF(B17="","Enter start date",IF(D17="No","Not eligible yet - check again at 3 yr anniversary",IF(E17="N","Get signed letter from Duncan, then back-accrue",IF(F17="N","Set up Bonus leave category in EH, then accrue",IF(H17="N","ACCRUE THIS MONTH - last pay run of Sep",IF(H17="Y","OK - accruing","Check EH"))))))</f>
        <v/>
      </c>
      <c r="L17" s="12" t="inlineStr"/>
    </row>
    <row r="18" ht="18" customHeight="1">
      <c r="A18" s="7" t="inlineStr"/>
      <c r="B18" s="8" t="n"/>
      <c r="C18" s="9">
        <f>IF(B18="","",YEARFRAC(B18,$B$3))</f>
        <v/>
      </c>
      <c r="D18" s="10">
        <f>IF(B18="","",IF(C18&gt;=$D$3,"Yes","No"))</f>
        <v/>
      </c>
      <c r="E18" s="11" t="n"/>
      <c r="F18" s="11" t="n"/>
      <c r="G18" s="8" t="n"/>
      <c r="H18" s="11" t="n"/>
      <c r="I18" s="11" t="n"/>
      <c r="J18" s="10">
        <f>IF(I18="","",I18*8)</f>
        <v/>
      </c>
      <c r="K18" s="12">
        <f>IF(B18="","Enter start date",IF(D18="No","Not eligible yet - check again at 3 yr anniversary",IF(E18="N","Get signed letter from Duncan, then back-accrue",IF(F18="N","Set up Bonus leave category in EH, then accrue",IF(H18="N","ACCRUE THIS MONTH - last pay run of Sep",IF(H18="Y","OK - accruing","Check EH"))))))</f>
        <v/>
      </c>
      <c r="L18" s="12" t="inlineStr"/>
    </row>
    <row r="19" ht="18" customHeight="1">
      <c r="A19" s="7" t="inlineStr"/>
      <c r="B19" s="8" t="n"/>
      <c r="C19" s="9">
        <f>IF(B19="","",YEARFRAC(B19,$B$3))</f>
        <v/>
      </c>
      <c r="D19" s="10">
        <f>IF(B19="","",IF(C19&gt;=$D$3,"Yes","No"))</f>
        <v/>
      </c>
      <c r="E19" s="11" t="n"/>
      <c r="F19" s="11" t="n"/>
      <c r="G19" s="8" t="n"/>
      <c r="H19" s="11" t="n"/>
      <c r="I19" s="11" t="n"/>
      <c r="J19" s="10">
        <f>IF(I19="","",I19*8)</f>
        <v/>
      </c>
      <c r="K19" s="12">
        <f>IF(B19="","Enter start date",IF(D19="No","Not eligible yet - check again at 3 yr anniversary",IF(E19="N","Get signed letter from Duncan, then back-accrue",IF(F19="N","Set up Bonus leave category in EH, then accrue",IF(H19="N","ACCRUE THIS MONTH - last pay run of Sep",IF(H19="Y","OK - accruing","Check EH"))))))</f>
        <v/>
      </c>
      <c r="L19" s="12" t="inlineStr"/>
    </row>
    <row r="20" ht="18" customHeight="1">
      <c r="A20" s="7" t="inlineStr"/>
      <c r="B20" s="8" t="n"/>
      <c r="C20" s="9">
        <f>IF(B20="","",YEARFRAC(B20,$B$3))</f>
        <v/>
      </c>
      <c r="D20" s="10">
        <f>IF(B20="","",IF(C20&gt;=$D$3,"Yes","No"))</f>
        <v/>
      </c>
      <c r="E20" s="11" t="n"/>
      <c r="F20" s="11" t="n"/>
      <c r="G20" s="8" t="n"/>
      <c r="H20" s="11" t="n"/>
      <c r="I20" s="11" t="n"/>
      <c r="J20" s="10">
        <f>IF(I20="","",I20*8)</f>
        <v/>
      </c>
      <c r="K20" s="12">
        <f>IF(B20="","Enter start date",IF(D20="No","Not eligible yet - check again at 3 yr anniversary",IF(E20="N","Get signed letter from Duncan, then back-accrue",IF(F20="N","Set up Bonus leave category in EH, then accrue",IF(H20="N","ACCRUE THIS MONTH - last pay run of Sep",IF(H20="Y","OK - accruing","Check EH"))))))</f>
        <v/>
      </c>
      <c r="L20" s="12" t="inlineStr"/>
    </row>
    <row r="21">
      <c r="A21" s="13" t="inlineStr">
        <is>
          <t>Totals</t>
        </is>
      </c>
      <c r="B21" s="14" t="n"/>
      <c r="C21" s="14" t="n"/>
      <c r="D21" s="13">
        <f>COUNTIF(D6:D20,"Yes")&amp;" qualify"</f>
        <v/>
      </c>
      <c r="E21" s="14" t="n"/>
      <c r="F21" s="14" t="n"/>
      <c r="G21" s="14" t="n"/>
      <c r="H21" s="13">
        <f>COUNTIF(H6:H20,"N")&amp;" not accrued"</f>
        <v/>
      </c>
      <c r="I21" s="13">
        <f>SUM(I6:I20)</f>
        <v/>
      </c>
      <c r="J21" s="13">
        <f>SUM(J6:J20)</f>
        <v/>
      </c>
      <c r="K21" s="14" t="n"/>
      <c r="L21" s="14" t="n"/>
    </row>
  </sheetData>
  <autoFilter ref="A5:L20"/>
  <conditionalFormatting sqref="K6:K20">
    <cfRule type="expression" priority="1" dxfId="0">
      <formula>LEFT(K6,6)="ACCRUE"</formula>
    </cfRule>
    <cfRule type="expression" priority="2" dxfId="1">
      <formula>LEFT(K6,3)="Get"</formula>
    </cfRule>
    <cfRule type="expression" priority="3" dxfId="1">
      <formula>LEFT(K6,3)="Set"</formula>
    </cfRule>
    <cfRule type="expression" priority="4" dxfId="2">
      <formula>LEFT(K6,2)="OK"</formula>
    </cfRule>
  </conditionalFormatting>
  <dataValidations count="1">
    <dataValidation sqref="E6 E7 E8 E9 E10 E11 E12 E13 E14 E15 E16 E17 E18 E19 E20 F6 F7 F8 F9 F10 F11 F12 F13 F14 F15 F16 F17 F18 F19 F20 H6 H7 H8 H9 H10 H11 H12 H13 H14 H15 H16 H17 H18 H19 H20" showDropDown="0" showInputMessage="0" showErrorMessage="0" allowBlank="1" type="list">
      <formula1>"Y,N"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6" customWidth="1" min="1" max="1"/>
    <col width="20" customWidth="1" min="2" max="2"/>
    <col width="20" customWidth="1" min="3" max="3"/>
    <col width="16" customWidth="1" min="4" max="4"/>
    <col width="22" customWidth="1" min="5" max="5"/>
    <col width="40" customWidth="1" min="6" max="6"/>
    <col width="18" customWidth="1" min="7" max="7"/>
  </cols>
  <sheetData>
    <row r="1">
      <c r="A1" s="1" t="inlineStr">
        <is>
          <t>Bonus Leave Tally spreadsheet - what was visible on 24/08/2026</t>
        </is>
      </c>
    </row>
    <row r="2">
      <c r="A2" s="2" t="inlineStr">
        <is>
          <t>Source: manuals/screenshots/part5/03-bonus-leave-tracker.png. Names are blurred in the screenshot, so match each column to a person by eligibility date in EH. Tracker lives on Y drive &gt; Payroll &gt; Timesheets.</t>
        </is>
      </c>
    </row>
    <row r="3">
      <c r="A3" s="2" t="inlineStr">
        <is>
          <t>Tracker columns jump (C, D, F, M, Q, R, U, W, AE, AF), so there are hidden columns. Unhide them and check whether any hidden person is still employed.</t>
        </is>
      </c>
    </row>
    <row r="5" ht="45" customHeight="1">
      <c r="A5" s="6" t="inlineStr">
        <is>
          <t>Tracker column</t>
        </is>
      </c>
      <c r="B5" s="6" t="inlineStr">
        <is>
          <t>Figure in row 4 (unlabelled - likely days, verify)</t>
        </is>
      </c>
      <c r="C5" s="6" t="inlineStr">
        <is>
          <t>Service length band</t>
        </is>
      </c>
      <c r="D5" s="6" t="inlineStr">
        <is>
          <t>Eligibility date</t>
        </is>
      </c>
      <c r="E5" s="6" t="inlineStr">
        <is>
          <t>Signed letter status</t>
        </is>
      </c>
      <c r="F5" s="6" t="inlineStr">
        <is>
          <t>Match to employee (fill in)</t>
        </is>
      </c>
      <c r="G5" s="6" t="inlineStr">
        <is>
          <t>In EH and accruing? (Y/N)</t>
        </is>
      </c>
    </row>
    <row r="6">
      <c r="A6" s="10" t="inlineStr">
        <is>
          <t>C</t>
        </is>
      </c>
      <c r="B6" s="10" t="n">
        <v>26</v>
      </c>
      <c r="C6" s="10" t="inlineStr">
        <is>
          <t>5+ yrs</t>
        </is>
      </c>
      <c r="D6" s="15" t="n">
        <v>42945</v>
      </c>
      <c r="E6" s="12" t="inlineStr"/>
      <c r="F6" s="7" t="inlineStr"/>
      <c r="G6" s="7" t="inlineStr"/>
    </row>
    <row r="7">
      <c r="A7" s="10" t="inlineStr">
        <is>
          <t>D</t>
        </is>
      </c>
      <c r="B7" s="10" t="n">
        <v>5</v>
      </c>
      <c r="C7" s="10" t="inlineStr">
        <is>
          <t>3-5 yrs</t>
        </is>
      </c>
      <c r="D7" s="15" t="n">
        <v>45702</v>
      </c>
      <c r="E7" s="12" t="inlineStr"/>
      <c r="F7" s="7" t="inlineStr"/>
      <c r="G7" s="7" t="inlineStr"/>
    </row>
    <row r="8">
      <c r="A8" s="10" t="inlineStr">
        <is>
          <t>F</t>
        </is>
      </c>
      <c r="B8" s="10" t="n">
        <v>42.5</v>
      </c>
      <c r="C8" s="10" t="inlineStr">
        <is>
          <t>5+ yrs</t>
        </is>
      </c>
      <c r="D8" s="15" t="n">
        <v>42767</v>
      </c>
      <c r="E8" s="12" t="inlineStr"/>
      <c r="F8" s="7" t="inlineStr"/>
      <c r="G8" s="7" t="inlineStr"/>
    </row>
    <row r="9">
      <c r="A9" s="10" t="inlineStr">
        <is>
          <t>M</t>
        </is>
      </c>
      <c r="B9" s="10" t="n">
        <v>27</v>
      </c>
      <c r="C9" s="10" t="inlineStr">
        <is>
          <t>5+ yrs</t>
        </is>
      </c>
      <c r="D9" s="15" t="n">
        <v>43579</v>
      </c>
      <c r="E9" s="12" t="inlineStr"/>
      <c r="F9" s="7" t="inlineStr"/>
      <c r="G9" s="7" t="inlineStr"/>
    </row>
    <row r="10">
      <c r="A10" s="10" t="inlineStr">
        <is>
          <t>Q</t>
        </is>
      </c>
      <c r="B10" s="10" t="n">
        <v>3</v>
      </c>
      <c r="C10" s="10" t="inlineStr">
        <is>
          <t>3-5 yrs</t>
        </is>
      </c>
      <c r="D10" s="15" t="n">
        <v>45905</v>
      </c>
      <c r="E10" s="12" t="inlineStr"/>
      <c r="F10" s="7" t="inlineStr"/>
      <c r="G10" s="7" t="inlineStr"/>
    </row>
    <row r="11">
      <c r="A11" s="10" t="inlineStr">
        <is>
          <t>R</t>
        </is>
      </c>
      <c r="B11" s="10" t="n">
        <v>14</v>
      </c>
      <c r="C11" s="10" t="inlineStr">
        <is>
          <t>3-5 yrs</t>
        </is>
      </c>
      <c r="D11" s="15" t="n">
        <v>46028</v>
      </c>
      <c r="E11" s="12" t="inlineStr"/>
      <c r="F11" s="7" t="inlineStr"/>
      <c r="G11" s="7" t="inlineStr"/>
    </row>
    <row r="12">
      <c r="A12" s="10" t="inlineStr">
        <is>
          <t>U</t>
        </is>
      </c>
      <c r="B12" s="10" t="n">
        <v>25</v>
      </c>
      <c r="C12" s="10" t="inlineStr">
        <is>
          <t>5+ yrs</t>
        </is>
      </c>
      <c r="D12" s="15" t="n">
        <v>44015</v>
      </c>
      <c r="E12" s="12" t="inlineStr"/>
      <c r="F12" s="7" t="inlineStr"/>
      <c r="G12" s="7" t="inlineStr"/>
    </row>
    <row r="13">
      <c r="A13" s="10" t="inlineStr">
        <is>
          <t>W</t>
        </is>
      </c>
      <c r="B13" s="10" t="n">
        <v>17</v>
      </c>
      <c r="C13" s="10" t="inlineStr">
        <is>
          <t>3-5 yrs</t>
        </is>
      </c>
      <c r="D13" s="15" t="n">
        <v>44351</v>
      </c>
      <c r="E13" s="12" t="inlineStr"/>
      <c r="F13" s="7" t="inlineStr"/>
      <c r="G13" s="7" t="inlineStr"/>
    </row>
    <row r="14">
      <c r="A14" s="10" t="inlineStr">
        <is>
          <t>AE</t>
        </is>
      </c>
      <c r="B14" s="10" t="n">
        <v>6</v>
      </c>
      <c r="C14" s="10" t="inlineStr">
        <is>
          <t>No signed letter yet</t>
        </is>
      </c>
      <c r="D14" s="15" t="n">
        <v>43725</v>
      </c>
      <c r="E14" s="16" t="inlineStr">
        <is>
          <t>No signed letter yet</t>
        </is>
      </c>
      <c r="F14" s="7" t="inlineStr">
        <is>
          <t>Probably Isaac (per transcript)</t>
        </is>
      </c>
      <c r="G14" s="7" t="inlineStr"/>
    </row>
    <row r="15">
      <c r="A15" s="10" t="inlineStr">
        <is>
          <t>AF</t>
        </is>
      </c>
      <c r="B15" s="10" t="n">
        <v>2</v>
      </c>
      <c r="C15" s="10" t="inlineStr">
        <is>
          <t>No signed letter yet</t>
        </is>
      </c>
      <c r="D15" s="15" t="n">
        <v>46067</v>
      </c>
      <c r="E15" s="16" t="inlineStr">
        <is>
          <t>No signed letter yet</t>
        </is>
      </c>
      <c r="F15" s="7" t="inlineStr">
        <is>
          <t>Probably Blake (eligible from Feb 2026 per transcript)</t>
        </is>
      </c>
      <c r="G15" s="7" t="inlineStr"/>
    </row>
    <row r="16">
      <c r="A16" s="10" t="inlineStr">
        <is>
          <t>Not on tracker</t>
        </is>
      </c>
      <c r="B16" s="10" t="n"/>
      <c r="C16" s="10" t="inlineStr"/>
      <c r="D16" s="10" t="n"/>
      <c r="E16" s="12" t="inlineStr"/>
      <c r="F16" s="7" t="inlineStr">
        <is>
          <t>Tyrell (Duncan says eligible)</t>
        </is>
      </c>
      <c r="G16" s="7" t="inlineStr"/>
    </row>
    <row r="17">
      <c r="A17" s="3" t="inlineStr">
        <is>
          <t>People on tracker</t>
        </is>
      </c>
      <c r="B17" s="3">
        <f>COUNTA(A6:A16)</f>
        <v/>
      </c>
      <c r="C17" s="2" t="inlineStr">
        <is>
          <t>Expect at least this many people qualifying in EH (plus anyone hidden or missed).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6" customWidth="1" min="1" max="1"/>
    <col width="100" customWidth="1" min="2" max="2"/>
    <col width="34" customWidth="1" min="3" max="3"/>
  </cols>
  <sheetData>
    <row r="1">
      <c r="A1" s="1" t="inlineStr">
        <is>
          <t>Bonus leave rules and the EH steps</t>
        </is>
      </c>
    </row>
    <row r="2">
      <c r="A2" s="2" t="inlineStr">
        <is>
          <t>Source: Part 5 manual and transcript (manuals/Payroll Processing - Part 5, part5-narration-transcript.txt). Anything marked 'inferred' needs Duncan or Graham to confirm.</t>
        </is>
      </c>
    </row>
    <row r="4">
      <c r="A4" s="6" t="inlineStr">
        <is>
          <t>Topic</t>
        </is>
      </c>
      <c r="B4" s="6" t="inlineStr">
        <is>
          <t>Rule / step</t>
        </is>
      </c>
      <c r="C4" s="6" t="inlineStr">
        <is>
          <t>Confidence</t>
        </is>
      </c>
    </row>
    <row r="5">
      <c r="A5" s="17" t="inlineStr">
        <is>
          <t>Who qualifies</t>
        </is>
      </c>
      <c r="B5" s="12" t="inlineStr">
        <is>
          <t>Staff with 3+ years' service. Tracker title: 'Bonus Leave Tally for Staff Anniversaries over 3 years'. Tracker bands are '3-5 yrs' and '5+ yrs'.</t>
        </is>
      </c>
      <c r="C5" s="12" t="inlineStr">
        <is>
          <t>Stated in source</t>
        </is>
      </c>
    </row>
    <row r="6">
      <c r="A6" s="17" t="inlineStr">
        <is>
          <t>How much</t>
        </is>
      </c>
      <c r="B6" s="12" t="inlineStr">
        <is>
          <t>5+ years: 5 days a year ('as soon as they hit the five years, you just accrue five days in a year'). 3-5 years: not stated. Tracker pattern suggests 1 day every 4 months (3 days a year) but that is a guess.</t>
        </is>
      </c>
      <c r="C6" s="16" t="inlineStr">
        <is>
          <t>5+ yrs stated. 3-5 yrs INFERRED - confirm with Duncan</t>
        </is>
      </c>
    </row>
    <row r="7">
      <c r="A7" s="17" t="inlineStr">
        <is>
          <t>When</t>
        </is>
      </c>
      <c r="B7" s="12" t="inlineStr">
        <is>
          <t>Once a month, in the LAST pay run of the month, always one month ahead. E.g. the 24/08/2026 pay run accrued September 2026.</t>
        </is>
      </c>
      <c r="C7" s="12" t="inlineStr">
        <is>
          <t>Stated in source</t>
        </is>
      </c>
    </row>
    <row r="8">
      <c r="A8" s="17" t="inlineStr">
        <is>
          <t>Units</t>
        </is>
      </c>
      <c r="B8" s="12" t="inlineStr">
        <is>
          <t>Tracker entries are DAYS. EH accrual is HOURS. 1 day = 8 hours.</t>
        </is>
      </c>
      <c r="C8" s="12" t="inlineStr">
        <is>
          <t>Stated in source</t>
        </is>
      </c>
    </row>
    <row r="9">
      <c r="A9" s="17" t="inlineStr">
        <is>
          <t>Signed letter</t>
        </is>
      </c>
      <c r="B9" s="12" t="inlineStr">
        <is>
          <t>No accrual until the employee's bonus leave letter is issued and signed. Mark 'No signed letter yet' on the tracker. Once signed, back-accrue from the eligibility date.</t>
        </is>
      </c>
      <c r="C9" s="12" t="inlineStr">
        <is>
          <t>Stated in source</t>
        </is>
      </c>
    </row>
    <row r="10">
      <c r="A10" s="17" t="inlineStr">
        <is>
          <t>Anniversary</t>
        </is>
      </c>
      <c r="B10" s="12" t="inlineStr">
        <is>
          <t>Mark the anniversary month yellow on the tracker. That signals a new entitlement year, and the 5-year jump to 5 days.</t>
        </is>
      </c>
      <c r="C10" s="12" t="inlineStr">
        <is>
          <t>Stated in source</t>
        </is>
      </c>
    </row>
    <row r="11">
      <c r="A11" s="17" t="inlineStr">
        <is>
          <t>EH steps to accrue</t>
        </is>
      </c>
      <c r="B11" s="12" t="inlineStr">
        <is>
          <t>Open the pay run &gt; click the employee &gt; Actions &gt; Accrue leave &gt; category 'Bonus leave' &gt; hours = days x 8 &gt; notes = 'Bonus leave &lt;Month Year&gt;' (e.g. 'Bonus leave September 2026') &gt; Save. Then update the tracker.</t>
        </is>
      </c>
      <c r="C11" s="12" t="inlineStr">
        <is>
          <t>Stated in source</t>
        </is>
      </c>
    </row>
    <row r="12">
      <c r="A12" s="17" t="inlineStr">
        <is>
          <t>EH check for existing accruals</t>
        </is>
      </c>
      <c r="B12" s="12" t="inlineStr">
        <is>
          <t>EH &gt; Employee &gt; Leave balances (or Reports &gt; Leave balances / Leave liability report to 21st). Look for a 'Bonus leave' line with a balance and recent accrual entries. No line = category never set up.</t>
        </is>
      </c>
      <c r="C12" s="12" t="inlineStr">
        <is>
          <t>Reasonable - EH report names from Part 6</t>
        </is>
      </c>
    </row>
    <row r="13">
      <c r="A13" s="17" t="inlineStr">
        <is>
          <t>Back-accruing</t>
        </is>
      </c>
      <c r="B13" s="12" t="inlineStr">
        <is>
          <t>Presenter said missed months can be 'back traced' once the letter is in. Do one accrual per missed month, each labelled with its month, so the tracker and EH match line for line.</t>
        </is>
      </c>
      <c r="C13" s="16" t="inlineStr">
        <is>
          <t>Method inferred from source</t>
        </is>
      </c>
    </row>
    <row r="14">
      <c r="A14" s="17" t="inlineStr">
        <is>
          <t>Tracker colours</t>
        </is>
      </c>
      <c r="B14" s="12" t="inlineStr">
        <is>
          <t>Green = used. No highlight = accrued, not used. Yellow = anniversary. Orange/blue = eligible but not yet accrued (no letter).</t>
        </is>
      </c>
      <c r="C14" s="12" t="inlineStr">
        <is>
          <t>Stated in source</t>
        </is>
      </c>
    </row>
    <row r="15">
      <c r="A15" s="17" t="inlineStr">
        <is>
          <t>Tracker extends to 2028 only</t>
        </is>
      </c>
      <c r="B15" s="12" t="inlineStr">
        <is>
          <t>Presenter only populated the tracker to 2028. Extend it as anniversaries roll over.</t>
        </is>
      </c>
      <c r="C15" s="12" t="inlineStr">
        <is>
          <t>Stated in source</t>
        </is>
      </c>
    </row>
    <row r="16">
      <c r="A16" s="17" t="inlineStr">
        <is>
          <t>Names caution</t>
        </is>
      </c>
      <c r="B16" s="12" t="inlineStr">
        <is>
          <t>Transcript is auto-generated. 'Wayne' = Wade, 'Gram' = Graham, 'Danika' = Danica. Confirm against EH.</t>
        </is>
      </c>
      <c r="C16" s="16" t="inlineStr">
        <is>
          <t>Inferred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RowHeight="15"/>
  <cols>
    <col width="34" customWidth="1" min="1" max="1"/>
    <col width="12" customWidth="1" min="2" max="2"/>
    <col width="12" customWidth="1" min="3" max="3"/>
    <col width="14" customWidth="1" min="4" max="4"/>
    <col width="55" customWidth="1" min="5" max="5"/>
    <col width="20" customWidth="1" min="6" max="6"/>
    <col width="40" customWidth="1" min="7" max="7"/>
  </cols>
  <sheetData>
    <row r="1">
      <c r="A1" s="1" t="inlineStr">
        <is>
          <t>Time in lieu adjustments in the 24/08/2026 pay run - reference only</t>
        </is>
      </c>
    </row>
    <row r="2">
      <c r="A2" s="2" t="inlineStr">
        <is>
          <t>Source: manuals/part5-narration-transcript.txt. Not part of the bonus leave audit.</t>
        </is>
      </c>
    </row>
    <row r="4">
      <c r="A4" s="6" t="inlineStr">
        <is>
          <t>Employee</t>
        </is>
      </c>
      <c r="B4" s="6" t="inlineStr">
        <is>
          <t>Status</t>
        </is>
      </c>
      <c r="C4" s="6" t="inlineStr">
        <is>
          <t>Hours accrued</t>
        </is>
      </c>
      <c r="D4" s="6" t="inlineStr">
        <is>
          <t>TIL balance after (hrs)</t>
        </is>
      </c>
      <c r="E4" s="6" t="inlineStr">
        <is>
          <t>What was done</t>
        </is>
      </c>
      <c r="F4" s="6" t="inlineStr">
        <is>
          <t>Timestamp</t>
        </is>
      </c>
      <c r="G4" s="6" t="inlineStr">
        <is>
          <t>Notes</t>
        </is>
      </c>
    </row>
    <row r="5" ht="40" customHeight="1">
      <c r="A5" s="12" t="inlineStr">
        <is>
          <t>Presenter (outgoing payroll officer, 'Jay' in Part 3)</t>
        </is>
      </c>
      <c r="B5" s="18" t="inlineStr">
        <is>
          <t>Accrued</t>
        </is>
      </c>
      <c r="C5" s="10" t="n">
        <v>1</v>
      </c>
      <c r="D5" s="10" t="n">
        <v>8</v>
      </c>
      <c r="E5" s="12" t="inlineStr">
        <is>
          <t>Entered 8 hrs TIL, EH auto-deducted the break to 7, accrued 1 hr back.</t>
        </is>
      </c>
      <c r="F5" s="12" t="inlineStr">
        <is>
          <t>11:40 to 12:36</t>
        </is>
      </c>
      <c r="G5" s="12" t="inlineStr">
        <is>
          <t>Name not stated in Part 5.</t>
        </is>
      </c>
    </row>
    <row r="6" ht="40" customHeight="1">
      <c r="A6" s="12" t="inlineStr">
        <is>
          <t>Wade</t>
        </is>
      </c>
      <c r="B6" s="18" t="inlineStr">
        <is>
          <t>Accrued</t>
        </is>
      </c>
      <c r="C6" s="10" t="n">
        <v>1</v>
      </c>
      <c r="D6" s="10" t="n">
        <v>8</v>
      </c>
      <c r="E6" s="12" t="inlineStr">
        <is>
          <t>Same break issue, accrued 1 hr to make 8.</t>
        </is>
      </c>
      <c r="F6" s="12" t="inlineStr">
        <is>
          <t>12:36, 14:00 to 14:28</t>
        </is>
      </c>
      <c r="G6" s="12" t="inlineStr">
        <is>
          <t>Also called 'Wayne' in transcript.</t>
        </is>
      </c>
    </row>
    <row r="7" ht="40" customHeight="1">
      <c r="A7" s="12" t="inlineStr">
        <is>
          <t>Graham</t>
        </is>
      </c>
      <c r="B7" s="16" t="inlineStr">
        <is>
          <t>Reduced</t>
        </is>
      </c>
      <c r="C7" s="10" t="n"/>
      <c r="D7" s="10" t="n"/>
      <c r="E7" s="12" t="inlineStr">
        <is>
          <t>TIL adjusted down via Actions &gt; Adjust leave, 'incorrect accrual'. Reduced dollar value too.</t>
        </is>
      </c>
      <c r="F7" s="12" t="inlineStr">
        <is>
          <t>11:12, 13:04 to 14:00</t>
        </is>
      </c>
      <c r="G7" s="12" t="inlineStr">
        <is>
          <t>Hours unclear (20, 32, 12, 8 all mentioned). Verify in EH.</t>
        </is>
      </c>
    </row>
    <row r="8">
      <c r="A8" s="3" t="inlineStr">
        <is>
          <t>Total hours accrued</t>
        </is>
      </c>
      <c r="C8" s="3">
        <f>SUM(C5:C7)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2026-09-28T01:57:56Z</dcterms:created>
  <dcterms:modified xsi:type="dcterms:W3CDTF">2026-09-28T01:57:56Z</dcterms:modified>
</cp:coreProperties>
</file>